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ellphone\OneDrive\Desktop\"/>
    </mc:Choice>
  </mc:AlternateContent>
  <xr:revisionPtr revIDLastSave="0" documentId="13_ncr:1_{2C41DA30-34E1-407B-B5E3-1B5489ECFC0D}" xr6:coauthVersionLast="47" xr6:coauthVersionMax="47" xr10:uidLastSave="{00000000-0000-0000-0000-000000000000}"/>
  <bookViews>
    <workbookView minimized="1" xWindow="2310" yWindow="390" windowWidth="11040" windowHeight="10530" activeTab="1" xr2:uid="{062E2A83-B955-40FF-A40F-63532E31B067}"/>
  </bookViews>
  <sheets>
    <sheet name="Formulaire" sheetId="1" r:id="rId1"/>
    <sheet name="Donne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2" l="1"/>
  <c r="J9" i="2"/>
  <c r="H8" i="2"/>
  <c r="J8" i="2"/>
  <c r="H7" i="2"/>
  <c r="J7" i="2"/>
  <c r="H6" i="2"/>
  <c r="J6" i="2"/>
  <c r="H5" i="2"/>
  <c r="J5" i="2"/>
  <c r="H4" i="2"/>
  <c r="J4" i="2"/>
  <c r="H3" i="2"/>
  <c r="J3" i="2"/>
  <c r="H2" i="2"/>
  <c r="J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Cellphone</author>
  </authors>
  <commentList>
    <comment ref="E9" authorId="0" shapeId="0" xr:uid="{2F811D95-18F1-4BB8-9170-7F8FDDDC4837}">
      <text>
        <r>
          <rPr>
            <b/>
            <sz val="9"/>
            <color indexed="81"/>
            <rFont val="Tahoma"/>
            <family val="2"/>
          </rPr>
          <t>Veuillez entrer un matricule pour :
Rechercher
Modifier
Supprimer</t>
        </r>
      </text>
    </comment>
  </commentList>
</comments>
</file>

<file path=xl/sharedStrings.xml><?xml version="1.0" encoding="utf-8"?>
<sst xmlns="http://schemas.openxmlformats.org/spreadsheetml/2006/main" count="53" uniqueCount="46">
  <si>
    <t>ID(Numéro d'enregistrement)</t>
  </si>
  <si>
    <t>Nom</t>
  </si>
  <si>
    <t>Prénom</t>
  </si>
  <si>
    <t>Matricule</t>
  </si>
  <si>
    <t>Faculté/Département</t>
  </si>
  <si>
    <t>Montant à payer</t>
  </si>
  <si>
    <t>Montant payé</t>
  </si>
  <si>
    <t>Solde restant</t>
  </si>
  <si>
    <t>Date de paiement</t>
  </si>
  <si>
    <t>Statut</t>
  </si>
  <si>
    <t>ID(Numéro d'enregistrement) :</t>
  </si>
  <si>
    <t>Nom :</t>
  </si>
  <si>
    <t>Prénom :</t>
  </si>
  <si>
    <t>Matricule :</t>
  </si>
  <si>
    <t>Faculté :</t>
  </si>
  <si>
    <t>Montant à payer :</t>
  </si>
  <si>
    <t>Montant payé :</t>
  </si>
  <si>
    <t>Date de paiement :</t>
  </si>
  <si>
    <t>Sciences et Technologies</t>
  </si>
  <si>
    <t>Petrole et gaz</t>
  </si>
  <si>
    <t>Medecine</t>
  </si>
  <si>
    <t>Polytechnique</t>
  </si>
  <si>
    <t>Agronomie</t>
  </si>
  <si>
    <t>Sciences Politiques</t>
  </si>
  <si>
    <t>Economie</t>
  </si>
  <si>
    <t>Lettres</t>
  </si>
  <si>
    <t>Pharmacie</t>
  </si>
  <si>
    <t>BESEBESE</t>
  </si>
  <si>
    <t>BONAVENTURE</t>
  </si>
  <si>
    <t>è_àç(à)ç)(</t>
  </si>
  <si>
    <t>trrey</t>
  </si>
  <si>
    <t>eyey</t>
  </si>
  <si>
    <t>yerhye</t>
  </si>
  <si>
    <t>laoto</t>
  </si>
  <si>
    <t>salem</t>
  </si>
  <si>
    <t>75L</t>
  </si>
  <si>
    <t>MBADU</t>
  </si>
  <si>
    <t>FAITH</t>
  </si>
  <si>
    <t>OJIHGEGGGORPGT</t>
  </si>
  <si>
    <t>HUGHIOTHPY</t>
  </si>
  <si>
    <t>JGKIYI</t>
  </si>
  <si>
    <t>MUNUNU</t>
  </si>
  <si>
    <t>HERMAN</t>
  </si>
  <si>
    <t>KADIDI</t>
  </si>
  <si>
    <t>JOSEPH</t>
  </si>
  <si>
    <t>FORMULAIRE D'ENROLEMENT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</si>
</sst>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7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rgb="FF3366FF"/>
      <name val="Calibri"/>
      <family val="2"/>
    </font>
    <font>
      <b/>
      <sz val="12"/>
      <color rgb="FF0066CC"/>
      <name val="Calibri"/>
      <family val="2"/>
    </font>
    <font>
      <b/>
      <sz val="9"/>
      <color indexed="81"/>
      <name val="Tahoma"/>
      <family val="2"/>
    </font>
    <font>
      <b/>
      <sz val="11"/>
      <color theme="5" tint="-0.49998474074526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4" borderId="0" xfId="0" applyFill="1"/>
    <xf numFmtId="0" fontId="0" fillId="4" borderId="6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7" fillId="3" borderId="0" xfId="0" applyFont="1" applyFill="1" applyAlignment="1">
      <alignment horizontal="center"/>
    </xf>
    <xf numFmtId="0" fontId="7" fillId="5" borderId="1" xfId="0" applyFont="1" applyFill="1" applyBorder="1" applyAlignment="1">
      <alignment horizontal="center" vertical="center"/>
    </xf>
    <xf numFmtId="14" fontId="7" fillId="3" borderId="0" xfId="0" applyNumberFormat="1" applyFont="1" applyFill="1" applyAlignment="1">
      <alignment horizontal="center"/>
    </xf>
    <xf numFmtId="0" fontId="8" fillId="4" borderId="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alignment horizontal="left" vertical="bottom" textRotation="0" wrapText="0" indent="0" justifyLastLine="0" shrinkToFit="0" readingOrder="0"/>
    </dxf>
    <dxf>
      <numFmt numFmtId="19" formatCode="d/mm/yyyy"/>
      <alignment horizontal="left" vertical="bottom" textRotation="0" wrapText="0" indent="0" justifyLastLine="0" shrinkToFit="0" readingOrder="0"/>
    </dxf>
    <dxf>
      <numFmt numFmtId="164" formatCode="[$$-409]#,##0.00"/>
      <alignment horizontal="left" vertical="bottom" textRotation="0" wrapText="0" indent="0" justifyLastLine="0" shrinkToFit="0" readingOrder="0"/>
    </dxf>
    <dxf>
      <numFmt numFmtId="164" formatCode="[$$-409]#,##0.00"/>
      <alignment horizontal="left" vertical="bottom" textRotation="0" wrapText="0" indent="0" justifyLastLine="0" shrinkToFit="0" readingOrder="0"/>
    </dxf>
    <dxf>
      <numFmt numFmtId="164" formatCode="[$$-409]#,##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$-409]#,##0.00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21</xdr:row>
          <xdr:rowOff>152400</xdr:rowOff>
        </xdr:from>
        <xdr:to>
          <xdr:col>3</xdr:col>
          <xdr:colOff>1885950</xdr:colOff>
          <xdr:row>25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D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21</xdr:row>
          <xdr:rowOff>123825</xdr:rowOff>
        </xdr:from>
        <xdr:to>
          <xdr:col>4</xdr:col>
          <xdr:colOff>2266950</xdr:colOff>
          <xdr:row>25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D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RECHERCHER_ETUDIANT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21</xdr:row>
          <xdr:rowOff>123825</xdr:rowOff>
        </xdr:from>
        <xdr:to>
          <xdr:col>7</xdr:col>
          <xdr:colOff>581025</xdr:colOff>
          <xdr:row>25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D" sz="12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MODIFIER_ETUDIANT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628650</xdr:colOff>
          <xdr:row>21</xdr:row>
          <xdr:rowOff>142875</xdr:rowOff>
        </xdr:from>
        <xdr:to>
          <xdr:col>10</xdr:col>
          <xdr:colOff>552450</xdr:colOff>
          <xdr:row>25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D" sz="12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200026</xdr:colOff>
      <xdr:row>2</xdr:row>
      <xdr:rowOff>0</xdr:rowOff>
    </xdr:from>
    <xdr:to>
      <xdr:col>10</xdr:col>
      <xdr:colOff>742316</xdr:colOff>
      <xdr:row>8</xdr:row>
      <xdr:rowOff>85725</xdr:rowOff>
    </xdr:to>
    <xdr:pic>
      <xdr:nvPicPr>
        <xdr:cNvPr id="8" name="Picture 6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551" y="390525"/>
          <a:ext cx="1304290" cy="122872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6AD2CE-F864-4777-A036-74250A2B9494}" name="Tableau1" displayName="Tableau1" ref="A1:J9" totalsRowShown="0" headerRowDxfId="11" dataDxfId="10">
  <autoFilter ref="A1:J9" xr:uid="{386AD2CE-F864-4777-A036-74250A2B9494}"/>
  <tableColumns count="10">
    <tableColumn id="1" xr3:uid="{777B7EFE-0D69-4EB6-A556-80D91241C176}" name="ID(Numéro d'enregistrement)" dataDxfId="9"/>
    <tableColumn id="2" xr3:uid="{CA95F896-DF99-4196-A552-EEC6202B21FD}" name="Nom" dataDxfId="8"/>
    <tableColumn id="3" xr3:uid="{C9A253C1-EDD0-4BB2-BE4B-4842E556AB06}" name="Prénom" dataDxfId="7"/>
    <tableColumn id="4" xr3:uid="{7706D967-2FE4-4127-B12E-95BF9BB3EBF6}" name="Matricule" dataDxfId="6"/>
    <tableColumn id="5" xr3:uid="{321D84BB-C8DA-44D9-953A-CC5151381A9E}" name="Faculté/Département" dataDxfId="5"/>
    <tableColumn id="6" xr3:uid="{8CC1C8A4-1FF9-4B55-B578-B32A7EF94345}" name="Montant à payer" dataDxfId="4"/>
    <tableColumn id="7" xr3:uid="{B1DBB6A6-9E50-4495-B698-6FFB8DCC3D91}" name="Montant payé" dataDxfId="3"/>
    <tableColumn id="8" xr3:uid="{E31CA233-0191-4114-8AE7-F9EA284E70D1}" name="Solde restant" dataDxfId="2">
      <calculatedColumnFormula>F2-G2</calculatedColumnFormula>
    </tableColumn>
    <tableColumn id="9" xr3:uid="{04CA7E6D-3CD5-4348-8164-27FECA88B584}" name="Date de paiement" dataDxfId="1"/>
    <tableColumn id="10" xr3:uid="{E9483C9B-397F-40E6-AE01-DBC6E2DEC3E4}" name="Statut" dataDxfId="0">
      <calculatedColumnFormula>IF(G2&gt;=F2,"Payé","Non Payé")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FC0BC-9814-4535-B291-945766E8E772}">
  <sheetPr codeName="Feuil1"/>
  <dimension ref="C1:N27"/>
  <sheetViews>
    <sheetView showGridLines="0" zoomScaleNormal="100" workbookViewId="0">
      <selection activeCell="D28" sqref="D28"/>
    </sheetView>
  </sheetViews>
  <sheetFormatPr baseColWidth="10" defaultRowHeight="15" x14ac:dyDescent="0.25"/>
  <cols>
    <col min="2" max="2" width="11.42578125" customWidth="1"/>
    <col min="3" max="3" width="11.42578125" hidden="1" customWidth="1"/>
    <col min="4" max="4" width="34.5703125" customWidth="1"/>
    <col min="5" max="5" width="39.5703125" customWidth="1"/>
    <col min="13" max="13" width="23.28515625" hidden="1" customWidth="1"/>
  </cols>
  <sheetData>
    <row r="1" spans="4:14" x14ac:dyDescent="0.25">
      <c r="D1" s="20" t="s">
        <v>45</v>
      </c>
      <c r="E1" s="21"/>
      <c r="F1" s="21"/>
      <c r="G1" s="21"/>
      <c r="H1" s="21"/>
      <c r="I1" s="21"/>
      <c r="J1" s="21"/>
      <c r="K1" s="22"/>
    </row>
    <row r="2" spans="4:14" x14ac:dyDescent="0.25">
      <c r="D2" s="23"/>
      <c r="E2" s="24"/>
      <c r="F2" s="24"/>
      <c r="G2" s="24"/>
      <c r="H2" s="24"/>
      <c r="I2" s="24"/>
      <c r="J2" s="24"/>
      <c r="K2" s="25"/>
      <c r="M2" t="s">
        <v>18</v>
      </c>
    </row>
    <row r="3" spans="4:14" x14ac:dyDescent="0.25">
      <c r="D3" s="19" t="s">
        <v>10</v>
      </c>
      <c r="E3" s="16"/>
      <c r="F3" s="10"/>
      <c r="G3" s="10"/>
      <c r="H3" s="10"/>
      <c r="I3" s="10"/>
      <c r="J3" s="10"/>
      <c r="K3" s="11"/>
      <c r="M3" t="s">
        <v>19</v>
      </c>
    </row>
    <row r="4" spans="4:14" x14ac:dyDescent="0.25">
      <c r="D4" s="12"/>
      <c r="E4" s="10"/>
      <c r="F4" s="10"/>
      <c r="G4" s="10"/>
      <c r="H4" s="10"/>
      <c r="I4" s="10"/>
      <c r="J4" s="10"/>
      <c r="K4" s="11"/>
      <c r="M4" t="s">
        <v>20</v>
      </c>
    </row>
    <row r="5" spans="4:14" x14ac:dyDescent="0.25">
      <c r="D5" s="19" t="s">
        <v>11</v>
      </c>
      <c r="E5" s="16"/>
      <c r="F5" s="10"/>
      <c r="G5" s="10"/>
      <c r="H5" s="10"/>
      <c r="I5" s="10"/>
      <c r="J5" s="10"/>
      <c r="K5" s="11"/>
      <c r="M5" t="s">
        <v>21</v>
      </c>
    </row>
    <row r="6" spans="4:14" x14ac:dyDescent="0.25">
      <c r="D6" s="12"/>
      <c r="E6" s="10"/>
      <c r="F6" s="10"/>
      <c r="G6" s="10"/>
      <c r="H6" s="10"/>
      <c r="I6" s="10"/>
      <c r="J6" s="10"/>
      <c r="K6" s="11"/>
      <c r="M6" t="s">
        <v>22</v>
      </c>
      <c r="N6">
        <v>5</v>
      </c>
    </row>
    <row r="7" spans="4:14" x14ac:dyDescent="0.25">
      <c r="D7" s="19" t="s">
        <v>12</v>
      </c>
      <c r="E7" s="16"/>
      <c r="F7" s="10"/>
      <c r="G7" s="10"/>
      <c r="H7" s="10"/>
      <c r="I7" s="10"/>
      <c r="J7" s="10"/>
      <c r="K7" s="11"/>
      <c r="M7" t="s">
        <v>23</v>
      </c>
    </row>
    <row r="8" spans="4:14" x14ac:dyDescent="0.25">
      <c r="D8" s="12"/>
      <c r="E8" s="10"/>
      <c r="F8" s="10"/>
      <c r="G8" s="10"/>
      <c r="H8" s="10"/>
      <c r="I8" s="10"/>
      <c r="J8" s="10"/>
      <c r="K8" s="11"/>
      <c r="M8" t="s">
        <v>24</v>
      </c>
    </row>
    <row r="9" spans="4:14" x14ac:dyDescent="0.25">
      <c r="D9" s="19" t="s">
        <v>13</v>
      </c>
      <c r="E9" s="17"/>
      <c r="F9" s="10"/>
      <c r="G9" s="10"/>
      <c r="H9" s="10"/>
      <c r="I9" s="10"/>
      <c r="J9" s="10"/>
      <c r="K9" s="11"/>
      <c r="M9" t="s">
        <v>25</v>
      </c>
    </row>
    <row r="10" spans="4:14" x14ac:dyDescent="0.25">
      <c r="D10" s="12"/>
      <c r="E10" s="10"/>
      <c r="F10" s="10"/>
      <c r="G10" s="10"/>
      <c r="H10" s="10"/>
      <c r="I10" s="10"/>
      <c r="J10" s="10"/>
      <c r="K10" s="11"/>
      <c r="M10" t="s">
        <v>26</v>
      </c>
    </row>
    <row r="11" spans="4:14" x14ac:dyDescent="0.25">
      <c r="D11" s="19" t="s">
        <v>14</v>
      </c>
      <c r="E11" s="16"/>
      <c r="F11" s="10"/>
      <c r="G11" s="10"/>
      <c r="H11" s="10"/>
      <c r="I11" s="10"/>
      <c r="J11" s="10"/>
      <c r="K11" s="11"/>
    </row>
    <row r="12" spans="4:14" x14ac:dyDescent="0.25">
      <c r="D12" s="12"/>
      <c r="E12" s="10"/>
      <c r="F12" s="10"/>
      <c r="G12" s="10"/>
      <c r="H12" s="10"/>
      <c r="I12" s="10"/>
      <c r="J12" s="10"/>
      <c r="K12" s="11"/>
    </row>
    <row r="13" spans="4:14" x14ac:dyDescent="0.25">
      <c r="D13" s="19" t="s">
        <v>15</v>
      </c>
      <c r="E13" s="16"/>
      <c r="F13" s="10"/>
      <c r="G13" s="10"/>
      <c r="H13" s="10"/>
      <c r="I13" s="10"/>
      <c r="J13" s="10"/>
      <c r="K13" s="11"/>
    </row>
    <row r="14" spans="4:14" x14ac:dyDescent="0.25">
      <c r="D14" s="12"/>
      <c r="E14" s="10"/>
      <c r="F14" s="10"/>
      <c r="G14" s="10"/>
      <c r="H14" s="10"/>
      <c r="I14" s="10"/>
      <c r="J14" s="10"/>
      <c r="K14" s="11"/>
    </row>
    <row r="15" spans="4:14" x14ac:dyDescent="0.25">
      <c r="D15" s="19" t="s">
        <v>16</v>
      </c>
      <c r="E15" s="16"/>
      <c r="F15" s="10"/>
      <c r="G15" s="10"/>
      <c r="H15" s="10"/>
      <c r="I15" s="10"/>
      <c r="J15" s="10"/>
      <c r="K15" s="11"/>
    </row>
    <row r="16" spans="4:14" x14ac:dyDescent="0.25">
      <c r="D16" s="12"/>
      <c r="E16" s="10"/>
      <c r="F16" s="10"/>
      <c r="G16" s="10"/>
      <c r="H16" s="10"/>
      <c r="I16" s="10"/>
      <c r="J16" s="10"/>
      <c r="K16" s="11"/>
    </row>
    <row r="17" spans="4:11" x14ac:dyDescent="0.25">
      <c r="D17" s="19" t="s">
        <v>17</v>
      </c>
      <c r="E17" s="18"/>
      <c r="F17" s="10"/>
      <c r="G17" s="10"/>
      <c r="H17" s="10"/>
      <c r="I17" s="10"/>
      <c r="J17" s="10"/>
      <c r="K17" s="11"/>
    </row>
    <row r="18" spans="4:11" x14ac:dyDescent="0.25">
      <c r="D18" s="12"/>
      <c r="E18" s="10"/>
      <c r="F18" s="10"/>
      <c r="G18" s="10"/>
      <c r="H18" s="10"/>
      <c r="I18" s="10"/>
      <c r="J18" s="10"/>
      <c r="K18" s="11"/>
    </row>
    <row r="19" spans="4:11" x14ac:dyDescent="0.25">
      <c r="D19" s="12"/>
      <c r="E19" s="10"/>
      <c r="F19" s="10"/>
      <c r="G19" s="10"/>
      <c r="H19" s="10"/>
      <c r="I19" s="10"/>
      <c r="J19" s="10"/>
      <c r="K19" s="11"/>
    </row>
    <row r="20" spans="4:11" x14ac:dyDescent="0.25">
      <c r="D20" s="12"/>
      <c r="E20" s="10"/>
      <c r="F20" s="10"/>
      <c r="G20" s="10"/>
      <c r="H20" s="10"/>
      <c r="I20" s="10"/>
      <c r="J20" s="10"/>
      <c r="K20" s="11"/>
    </row>
    <row r="21" spans="4:11" x14ac:dyDescent="0.25">
      <c r="D21" s="12"/>
      <c r="E21" s="10"/>
      <c r="F21" s="10"/>
      <c r="G21" s="10"/>
      <c r="H21" s="10"/>
      <c r="I21" s="10"/>
      <c r="J21" s="10"/>
      <c r="K21" s="11"/>
    </row>
    <row r="22" spans="4:11" x14ac:dyDescent="0.25">
      <c r="D22" s="12"/>
      <c r="E22" s="10"/>
      <c r="F22" s="10"/>
      <c r="G22" s="10"/>
      <c r="H22" s="10"/>
      <c r="I22" s="10"/>
      <c r="J22" s="10"/>
      <c r="K22" s="11"/>
    </row>
    <row r="23" spans="4:11" x14ac:dyDescent="0.25">
      <c r="D23" s="12"/>
      <c r="E23" s="10"/>
      <c r="F23" s="10"/>
      <c r="G23" s="10"/>
      <c r="H23" s="10"/>
      <c r="I23" s="10"/>
      <c r="J23" s="10"/>
      <c r="K23" s="11"/>
    </row>
    <row r="24" spans="4:11" x14ac:dyDescent="0.25">
      <c r="D24" s="12"/>
      <c r="E24" s="10"/>
      <c r="F24" s="10"/>
      <c r="G24" s="10"/>
      <c r="H24" s="10"/>
      <c r="I24" s="10"/>
      <c r="J24" s="10"/>
      <c r="K24" s="11"/>
    </row>
    <row r="25" spans="4:11" x14ac:dyDescent="0.25">
      <c r="D25" s="12"/>
      <c r="E25" s="10"/>
      <c r="F25" s="10"/>
      <c r="G25" s="10"/>
      <c r="H25" s="10"/>
      <c r="I25" s="10"/>
      <c r="J25" s="10"/>
      <c r="K25" s="11"/>
    </row>
    <row r="26" spans="4:11" x14ac:dyDescent="0.25">
      <c r="D26" s="12"/>
      <c r="E26" s="10"/>
      <c r="F26" s="10"/>
      <c r="G26" s="10"/>
      <c r="H26" s="10"/>
      <c r="I26" s="10"/>
      <c r="J26" s="10"/>
      <c r="K26" s="11"/>
    </row>
    <row r="27" spans="4:11" ht="15.75" thickBot="1" x14ac:dyDescent="0.3">
      <c r="D27" s="13"/>
      <c r="E27" s="14"/>
      <c r="F27" s="14"/>
      <c r="G27" s="14"/>
      <c r="H27" s="14"/>
      <c r="I27" s="14"/>
      <c r="J27" s="14"/>
      <c r="K27" s="15"/>
    </row>
  </sheetData>
  <mergeCells count="1">
    <mergeCell ref="D1:K2"/>
  </mergeCells>
  <dataValidations count="1">
    <dataValidation type="list" allowBlank="1" showInputMessage="1" showErrorMessage="1" sqref="E11" xr:uid="{74AA9D50-A98D-4A4A-A955-9F73B5AD0D47}">
      <formula1>$M$2:$M$10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registrer">
                <anchor moveWithCells="1" sizeWithCells="1">
                  <from>
                    <xdr:col>3</xdr:col>
                    <xdr:colOff>200025</xdr:colOff>
                    <xdr:row>21</xdr:row>
                    <xdr:rowOff>152400</xdr:rowOff>
                  </from>
                  <to>
                    <xdr:col>3</xdr:col>
                    <xdr:colOff>1885950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chercher">
                <anchor moveWithCells="1" sizeWithCells="1">
                  <from>
                    <xdr:col>4</xdr:col>
                    <xdr:colOff>504825</xdr:colOff>
                    <xdr:row>21</xdr:row>
                    <xdr:rowOff>123825</xdr:rowOff>
                  </from>
                  <to>
                    <xdr:col>4</xdr:col>
                    <xdr:colOff>2266950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odifier">
                <anchor moveWithCells="1" sizeWithCells="1">
                  <from>
                    <xdr:col>5</xdr:col>
                    <xdr:colOff>523875</xdr:colOff>
                    <xdr:row>21</xdr:row>
                    <xdr:rowOff>123825</xdr:rowOff>
                  </from>
                  <to>
                    <xdr:col>7</xdr:col>
                    <xdr:colOff>581025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UPPRIMER">
                <anchor moveWithCells="1" sizeWithCells="1">
                  <from>
                    <xdr:col>8</xdr:col>
                    <xdr:colOff>628650</xdr:colOff>
                    <xdr:row>21</xdr:row>
                    <xdr:rowOff>142875</xdr:rowOff>
                  </from>
                  <to>
                    <xdr:col>10</xdr:col>
                    <xdr:colOff>552450</xdr:colOff>
                    <xdr:row>25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FDD91-AC59-4DC6-AB6E-F82FA647AD23}">
  <sheetPr codeName="Feuil2"/>
  <dimension ref="A1:J9"/>
  <sheetViews>
    <sheetView tabSelected="1" workbookViewId="0">
      <selection activeCell="H5" sqref="H5"/>
    </sheetView>
  </sheetViews>
  <sheetFormatPr baseColWidth="10" defaultRowHeight="15" x14ac:dyDescent="0.25"/>
  <cols>
    <col min="1" max="1" width="29.7109375" customWidth="1"/>
    <col min="2" max="2" width="16.7109375" customWidth="1"/>
    <col min="3" max="3" width="16" customWidth="1"/>
    <col min="4" max="4" width="14.85546875" customWidth="1"/>
    <col min="5" max="5" width="22.28515625" customWidth="1"/>
    <col min="6" max="6" width="17.7109375" style="3" customWidth="1"/>
    <col min="7" max="7" width="15.5703125" style="3" customWidth="1"/>
    <col min="8" max="8" width="14.85546875" style="3" customWidth="1"/>
    <col min="9" max="9" width="19" style="2" customWidth="1"/>
    <col min="11" max="11" width="0" hidden="1" customWidth="1"/>
  </cols>
  <sheetData>
    <row r="1" spans="1:10" s="1" customForma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6" t="s">
        <v>5</v>
      </c>
      <c r="G1" s="6" t="s">
        <v>6</v>
      </c>
      <c r="H1" s="6" t="s">
        <v>7</v>
      </c>
      <c r="I1" s="7" t="s">
        <v>8</v>
      </c>
      <c r="J1" s="5" t="s">
        <v>9</v>
      </c>
    </row>
    <row r="2" spans="1:10" x14ac:dyDescent="0.25">
      <c r="A2" s="4"/>
      <c r="B2" s="4"/>
      <c r="C2" s="4"/>
      <c r="D2" s="4"/>
      <c r="E2" s="4"/>
      <c r="F2" s="8"/>
      <c r="G2" s="8"/>
      <c r="H2" s="8">
        <f t="shared" ref="H2:H7" si="0">F2-G2</f>
        <v>0</v>
      </c>
      <c r="I2" s="9"/>
      <c r="J2" s="4" t="str">
        <f t="shared" ref="J2:J7" si="1">IF(G2&gt;=F2,"Payé","Non Payé")</f>
        <v>Payé</v>
      </c>
    </row>
    <row r="3" spans="1:10" x14ac:dyDescent="0.25">
      <c r="A3" s="4">
        <v>1234566</v>
      </c>
      <c r="B3" s="4" t="s">
        <v>27</v>
      </c>
      <c r="C3" s="4" t="s">
        <v>28</v>
      </c>
      <c r="D3" s="4">
        <v>453</v>
      </c>
      <c r="E3" s="4" t="s">
        <v>18</v>
      </c>
      <c r="F3" s="8">
        <v>300</v>
      </c>
      <c r="G3" s="8">
        <v>300</v>
      </c>
      <c r="H3" s="8">
        <f t="shared" si="0"/>
        <v>0</v>
      </c>
      <c r="I3" s="9">
        <v>45424</v>
      </c>
      <c r="J3" s="4" t="str">
        <f t="shared" si="1"/>
        <v>Payé</v>
      </c>
    </row>
    <row r="4" spans="1:10" x14ac:dyDescent="0.25">
      <c r="A4" s="4" t="s">
        <v>29</v>
      </c>
      <c r="B4" s="4" t="s">
        <v>30</v>
      </c>
      <c r="C4" s="4" t="s">
        <v>31</v>
      </c>
      <c r="D4" s="4" t="s">
        <v>32</v>
      </c>
      <c r="E4" s="4" t="s">
        <v>20</v>
      </c>
      <c r="F4" s="8">
        <v>345</v>
      </c>
      <c r="G4" s="8">
        <v>6774</v>
      </c>
      <c r="H4" s="8">
        <f t="shared" si="0"/>
        <v>-6429</v>
      </c>
      <c r="I4" s="9">
        <v>40809</v>
      </c>
      <c r="J4" s="4" t="str">
        <f t="shared" si="1"/>
        <v>Payé</v>
      </c>
    </row>
    <row r="5" spans="1:10" x14ac:dyDescent="0.25">
      <c r="A5" s="4" t="s">
        <v>35</v>
      </c>
      <c r="B5" s="4" t="s">
        <v>33</v>
      </c>
      <c r="C5" s="4" t="s">
        <v>34</v>
      </c>
      <c r="D5" s="4">
        <v>2501</v>
      </c>
      <c r="E5" s="4" t="s">
        <v>20</v>
      </c>
      <c r="F5" s="8">
        <v>450</v>
      </c>
      <c r="G5" s="8">
        <v>300</v>
      </c>
      <c r="H5" s="8">
        <f t="shared" si="0"/>
        <v>150</v>
      </c>
      <c r="I5" s="9">
        <v>45797</v>
      </c>
      <c r="J5" s="4" t="str">
        <f t="shared" si="1"/>
        <v>Non Payé</v>
      </c>
    </row>
    <row r="6" spans="1:10" x14ac:dyDescent="0.25">
      <c r="A6" s="4">
        <v>123456789</v>
      </c>
      <c r="B6" s="4" t="s">
        <v>36</v>
      </c>
      <c r="C6" s="4" t="s">
        <v>37</v>
      </c>
      <c r="D6" s="4">
        <v>987654321</v>
      </c>
      <c r="E6" s="4" t="s">
        <v>18</v>
      </c>
      <c r="F6" s="8">
        <v>300</v>
      </c>
      <c r="G6" s="8">
        <v>300</v>
      </c>
      <c r="H6" s="8">
        <f t="shared" si="0"/>
        <v>0</v>
      </c>
      <c r="I6" s="9">
        <v>45806</v>
      </c>
      <c r="J6" s="4" t="str">
        <f t="shared" si="1"/>
        <v>Payé</v>
      </c>
    </row>
    <row r="7" spans="1:10" x14ac:dyDescent="0.25">
      <c r="A7" s="4" t="s">
        <v>38</v>
      </c>
      <c r="B7" s="4" t="s">
        <v>39</v>
      </c>
      <c r="C7" s="4" t="s">
        <v>40</v>
      </c>
      <c r="D7" s="4">
        <v>67</v>
      </c>
      <c r="E7" s="4" t="s">
        <v>18</v>
      </c>
      <c r="F7" s="8">
        <v>678</v>
      </c>
      <c r="G7" s="8">
        <v>578</v>
      </c>
      <c r="H7" s="8">
        <f t="shared" si="0"/>
        <v>100</v>
      </c>
      <c r="I7" s="9">
        <v>45800</v>
      </c>
      <c r="J7" s="4" t="str">
        <f t="shared" si="1"/>
        <v>Non Payé</v>
      </c>
    </row>
    <row r="8" spans="1:10" x14ac:dyDescent="0.25">
      <c r="A8" s="4">
        <v>245678899</v>
      </c>
      <c r="B8" s="4" t="s">
        <v>41</v>
      </c>
      <c r="C8" s="4" t="s">
        <v>42</v>
      </c>
      <c r="D8" s="4">
        <v>235</v>
      </c>
      <c r="E8" s="4" t="s">
        <v>18</v>
      </c>
      <c r="F8" s="8">
        <v>300</v>
      </c>
      <c r="G8" s="8">
        <v>300</v>
      </c>
      <c r="H8" s="8">
        <f>F8-G8</f>
        <v>0</v>
      </c>
      <c r="I8" s="9">
        <v>45831</v>
      </c>
      <c r="J8" s="4" t="str">
        <f>IF(G8&gt;=F8,"Payé","Non Payé")</f>
        <v>Payé</v>
      </c>
    </row>
    <row r="9" spans="1:10" x14ac:dyDescent="0.25">
      <c r="A9" s="4">
        <v>567489</v>
      </c>
      <c r="B9" s="4" t="s">
        <v>43</v>
      </c>
      <c r="C9" s="4" t="s">
        <v>44</v>
      </c>
      <c r="D9" s="4">
        <v>234</v>
      </c>
      <c r="E9" s="4" t="s">
        <v>18</v>
      </c>
      <c r="F9" s="8">
        <v>500</v>
      </c>
      <c r="G9" s="8">
        <v>500</v>
      </c>
      <c r="H9" s="8">
        <f>F9-G9</f>
        <v>0</v>
      </c>
      <c r="I9" s="9">
        <v>43578</v>
      </c>
      <c r="J9" s="4" t="str">
        <f>IF(G9&gt;=F9,"Payé","Non Payé")</f>
        <v>Payé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Formulaire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Cellphone</dc:creator>
  <cp:lastModifiedBy>Cellphone</cp:lastModifiedBy>
  <dcterms:created xsi:type="dcterms:W3CDTF">2025-05-23T17:15:11Z</dcterms:created>
  <dcterms:modified xsi:type="dcterms:W3CDTF">2025-06-03T15:40:10Z</dcterms:modified>
</cp:coreProperties>
</file>